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7abbb25ad5a6e64/デスクトップ/"/>
    </mc:Choice>
  </mc:AlternateContent>
  <xr:revisionPtr revIDLastSave="39" documentId="13_ncr:1_{40EF84B5-BF6C-4D0C-A40C-A1B86882DE4B}" xr6:coauthVersionLast="47" xr6:coauthVersionMax="47" xr10:uidLastSave="{791925FB-C737-48BD-B5EA-A117CBA724EE}"/>
  <bookViews>
    <workbookView xWindow="-28920" yWindow="-120" windowWidth="29040" windowHeight="15720" xr2:uid="{FD74F80A-37BC-47A0-A399-880DAA7CC047}"/>
  </bookViews>
  <sheets>
    <sheet name="株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" l="1"/>
  <c r="L12" i="2"/>
  <c r="L11" i="2"/>
  <c r="L8" i="2"/>
  <c r="I11" i="2"/>
  <c r="I8" i="2"/>
  <c r="G11" i="2"/>
  <c r="G8" i="2"/>
  <c r="E10" i="2"/>
  <c r="E8" i="2"/>
  <c r="E9" i="2"/>
  <c r="E7" i="2"/>
  <c r="C16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B1" i="1"/>
</calcChain>
</file>

<file path=xl/sharedStrings.xml><?xml version="1.0" encoding="utf-8"?>
<sst xmlns="http://schemas.openxmlformats.org/spreadsheetml/2006/main" count="37" uniqueCount="37">
  <si>
    <t>BTC</t>
    <phoneticPr fontId="2"/>
  </si>
  <si>
    <t>ビットコイン</t>
    <phoneticPr fontId="2"/>
  </si>
  <si>
    <t>SHIB</t>
    <phoneticPr fontId="2"/>
  </si>
  <si>
    <t>シバイヌ</t>
    <phoneticPr fontId="2"/>
  </si>
  <si>
    <t>イーサリアム</t>
    <phoneticPr fontId="2"/>
  </si>
  <si>
    <t>ETH</t>
    <phoneticPr fontId="2"/>
  </si>
  <si>
    <t>CHZ</t>
    <phoneticPr fontId="2"/>
  </si>
  <si>
    <t>チリーズ</t>
    <phoneticPr fontId="2"/>
  </si>
  <si>
    <t>ラップドビットコイン</t>
    <phoneticPr fontId="2"/>
  </si>
  <si>
    <t>WBTC</t>
    <phoneticPr fontId="2"/>
  </si>
  <si>
    <t>合計</t>
    <rPh sb="0" eb="2">
      <t>ゴウケイ</t>
    </rPh>
    <phoneticPr fontId="2"/>
  </si>
  <si>
    <t>入金額</t>
    <rPh sb="0" eb="3">
      <t>ニュウキンガク</t>
    </rPh>
    <phoneticPr fontId="2"/>
  </si>
  <si>
    <t>招待</t>
    <rPh sb="0" eb="2">
      <t>ショウタイ</t>
    </rPh>
    <phoneticPr fontId="2"/>
  </si>
  <si>
    <t>全入金額</t>
    <rPh sb="0" eb="4">
      <t>ゼンニュウキンガク</t>
    </rPh>
    <phoneticPr fontId="2"/>
  </si>
  <si>
    <t>XRP</t>
    <phoneticPr fontId="2"/>
  </si>
  <si>
    <t>リップル</t>
    <phoneticPr fontId="2"/>
  </si>
  <si>
    <t>MKR</t>
    <phoneticPr fontId="2"/>
  </si>
  <si>
    <t>メイカー</t>
    <phoneticPr fontId="2"/>
  </si>
  <si>
    <t>DOT</t>
    <phoneticPr fontId="2"/>
  </si>
  <si>
    <t>ポルカドット</t>
    <phoneticPr fontId="2"/>
  </si>
  <si>
    <t>IMX</t>
    <phoneticPr fontId="2"/>
  </si>
  <si>
    <t>イミュータブル</t>
    <phoneticPr fontId="2"/>
  </si>
  <si>
    <t>アバランチ</t>
    <phoneticPr fontId="2"/>
  </si>
  <si>
    <t>AVAX</t>
    <phoneticPr fontId="2"/>
  </si>
  <si>
    <t>DFNCT</t>
    <phoneticPr fontId="2"/>
  </si>
  <si>
    <t>フィナンシェトークン</t>
    <phoneticPr fontId="2"/>
  </si>
  <si>
    <t>残り</t>
    <rPh sb="0" eb="1">
      <t>ノコ</t>
    </rPh>
    <phoneticPr fontId="2"/>
  </si>
  <si>
    <t>初期投資</t>
    <rPh sb="0" eb="2">
      <t>ショキ</t>
    </rPh>
    <rPh sb="2" eb="4">
      <t>トウシ</t>
    </rPh>
    <phoneticPr fontId="2"/>
  </si>
  <si>
    <t>IHI</t>
    <phoneticPr fontId="2"/>
  </si>
  <si>
    <t>JX金属</t>
    <rPh sb="2" eb="4">
      <t>キンゾク</t>
    </rPh>
    <phoneticPr fontId="2"/>
  </si>
  <si>
    <t>ENEOS</t>
    <phoneticPr fontId="2"/>
  </si>
  <si>
    <t>ソフトバンクグループ</t>
    <phoneticPr fontId="2"/>
  </si>
  <si>
    <t>現金</t>
    <rPh sb="0" eb="2">
      <t>ゲンキン</t>
    </rPh>
    <phoneticPr fontId="2"/>
  </si>
  <si>
    <t>元金</t>
    <rPh sb="0" eb="1">
      <t>モト</t>
    </rPh>
    <rPh sb="1" eb="2">
      <t>キン</t>
    </rPh>
    <phoneticPr fontId="2"/>
  </si>
  <si>
    <t>INPEX</t>
    <phoneticPr fontId="2"/>
  </si>
  <si>
    <t>三菱重工</t>
    <rPh sb="0" eb="2">
      <t>ミツビシ</t>
    </rPh>
    <rPh sb="2" eb="4">
      <t>ジュウコウ</t>
    </rPh>
    <phoneticPr fontId="2"/>
  </si>
  <si>
    <t>SCREENホールディングス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</si>
</sst>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56" fontId="0" fillId="0" borderId="0" xfId="0" applyNumberFormat="1">
      <alignment vertical="center"/>
    </xf>
    <xf numFmtId="6" fontId="0" fillId="0" borderId="0" xfId="1" applyFont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通貨" xfId="1" builtinId="7"/>
    <cellStyle name="標準" xfId="0" builtinId="0"/>
  </cellStyles>
  <dxfs count="17">
    <dxf>
      <font>
        <color theme="3" tint="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3" tint="0.499984740745262"/>
      </font>
    </dxf>
    <dxf>
      <font>
        <color rgb="FFFF0000"/>
      </font>
    </dxf>
    <dxf>
      <font>
        <color theme="3" tint="0.499984740745262"/>
      </font>
    </dxf>
    <dxf>
      <font>
        <color rgb="FFFF0000"/>
      </font>
    </dxf>
    <dxf>
      <font>
        <color theme="3" tint="0.499984740745262"/>
      </font>
    </dxf>
    <dxf>
      <font>
        <color rgb="FFFF0000"/>
      </font>
    </dxf>
    <dxf>
      <font>
        <color theme="3" tint="0.499984740745262"/>
      </font>
    </dxf>
    <dxf>
      <font>
        <color rgb="FFFF0000"/>
      </font>
    </dxf>
    <dxf>
      <font>
        <color theme="3" tint="0.499984740745262"/>
      </font>
    </dxf>
    <dxf>
      <font>
        <color theme="3" tint="0.499984740745262"/>
      </font>
    </dxf>
    <dxf>
      <font>
        <color theme="3" tint="0.499984740745262"/>
      </font>
    </dxf>
    <dxf>
      <font>
        <color rgb="FFFF0000"/>
      </font>
    </dxf>
    <dxf>
      <font>
        <color theme="3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BF4A-A4CE-4FFC-B4F6-7CDAE557D8B1}">
  <dimension ref="B6:L14"/>
  <sheetViews>
    <sheetView tabSelected="1" zoomScale="102" zoomScaleNormal="85" workbookViewId="0">
      <selection activeCell="P9" sqref="P9"/>
    </sheetView>
  </sheetViews>
  <sheetFormatPr defaultRowHeight="18" x14ac:dyDescent="0.55000000000000004"/>
  <cols>
    <col min="2" max="2" width="23.9140625" bestFit="1" customWidth="1"/>
    <col min="4" max="4" width="11.08203125" bestFit="1" customWidth="1"/>
    <col min="6" max="6" width="11.08203125" bestFit="1" customWidth="1"/>
    <col min="8" max="8" width="11.08203125" bestFit="1" customWidth="1"/>
    <col min="11" max="11" width="10.08203125" bestFit="1" customWidth="1"/>
  </cols>
  <sheetData>
    <row r="6" spans="2:12" x14ac:dyDescent="0.55000000000000004">
      <c r="C6" t="s">
        <v>33</v>
      </c>
      <c r="D6" s="5">
        <v>45960</v>
      </c>
      <c r="F6" s="5">
        <v>45961</v>
      </c>
      <c r="H6" s="5">
        <v>45962</v>
      </c>
      <c r="K6" s="5">
        <v>45965</v>
      </c>
    </row>
    <row r="7" spans="2:12" x14ac:dyDescent="0.55000000000000004">
      <c r="B7" t="s">
        <v>29</v>
      </c>
      <c r="C7">
        <v>76800</v>
      </c>
      <c r="D7">
        <v>82987</v>
      </c>
      <c r="E7">
        <f>D7-$C7</f>
        <v>6187</v>
      </c>
      <c r="F7">
        <v>0</v>
      </c>
      <c r="G7">
        <v>5906</v>
      </c>
    </row>
    <row r="8" spans="2:12" x14ac:dyDescent="0.55000000000000004">
      <c r="B8" t="s">
        <v>31</v>
      </c>
      <c r="C8">
        <v>81000</v>
      </c>
      <c r="D8">
        <v>78522</v>
      </c>
      <c r="E8">
        <f>D8-$C8</f>
        <v>-2478</v>
      </c>
      <c r="F8">
        <v>80806</v>
      </c>
      <c r="G8">
        <f>F8-$C8</f>
        <v>-194</v>
      </c>
      <c r="H8">
        <v>80806</v>
      </c>
      <c r="I8">
        <f>H8-$C8</f>
        <v>-194</v>
      </c>
      <c r="J8">
        <v>81000</v>
      </c>
      <c r="K8">
        <v>75118</v>
      </c>
      <c r="L8">
        <f>K8-$C8</f>
        <v>-5882</v>
      </c>
    </row>
    <row r="9" spans="2:12" x14ac:dyDescent="0.55000000000000004">
      <c r="B9" t="s">
        <v>28</v>
      </c>
      <c r="C9">
        <v>27884</v>
      </c>
      <c r="D9">
        <v>29164</v>
      </c>
      <c r="E9">
        <f>D9-$C9</f>
        <v>1280</v>
      </c>
      <c r="F9">
        <v>0</v>
      </c>
      <c r="G9">
        <v>1492</v>
      </c>
    </row>
    <row r="10" spans="2:12" x14ac:dyDescent="0.55000000000000004">
      <c r="B10" t="s">
        <v>30</v>
      </c>
      <c r="C10">
        <v>18700</v>
      </c>
      <c r="D10">
        <v>19307</v>
      </c>
      <c r="E10">
        <f>D10-$C10</f>
        <v>607</v>
      </c>
      <c r="F10">
        <v>0</v>
      </c>
      <c r="G10">
        <v>604</v>
      </c>
    </row>
    <row r="11" spans="2:12" x14ac:dyDescent="0.55000000000000004">
      <c r="B11" t="s">
        <v>34</v>
      </c>
      <c r="C11">
        <v>55000</v>
      </c>
      <c r="F11">
        <v>54760</v>
      </c>
      <c r="G11">
        <f>F11-C11</f>
        <v>-240</v>
      </c>
      <c r="H11">
        <v>54760</v>
      </c>
      <c r="I11">
        <f>H11-E11</f>
        <v>54760</v>
      </c>
      <c r="J11">
        <v>55000</v>
      </c>
      <c r="K11">
        <v>55339</v>
      </c>
      <c r="L11">
        <f>K11-G11</f>
        <v>55579</v>
      </c>
    </row>
    <row r="12" spans="2:12" x14ac:dyDescent="0.55000000000000004">
      <c r="B12" t="s">
        <v>36</v>
      </c>
      <c r="C12">
        <v>26000</v>
      </c>
      <c r="J12">
        <v>26000</v>
      </c>
      <c r="K12">
        <v>25602</v>
      </c>
      <c r="L12">
        <f>K12-J12</f>
        <v>-398</v>
      </c>
    </row>
    <row r="13" spans="2:12" x14ac:dyDescent="0.55000000000000004">
      <c r="B13" t="s">
        <v>35</v>
      </c>
      <c r="C13">
        <v>4650</v>
      </c>
      <c r="J13">
        <v>4650</v>
      </c>
      <c r="K13">
        <v>4560</v>
      </c>
      <c r="L13">
        <f>K13-J13</f>
        <v>-90</v>
      </c>
    </row>
    <row r="14" spans="2:12" x14ac:dyDescent="0.55000000000000004">
      <c r="B14" t="s">
        <v>32</v>
      </c>
      <c r="D14">
        <v>9000</v>
      </c>
      <c r="F14">
        <v>85386</v>
      </c>
      <c r="H14">
        <v>85386</v>
      </c>
      <c r="K14">
        <v>54736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32A5-C9CA-4BF9-B669-F5F3973503EB}">
  <dimension ref="A1:J20"/>
  <sheetViews>
    <sheetView zoomScale="94" zoomScaleNormal="85" workbookViewId="0">
      <selection activeCell="F23" sqref="F23"/>
    </sheetView>
  </sheetViews>
  <sheetFormatPr defaultRowHeight="18" x14ac:dyDescent="0.55000000000000004"/>
  <cols>
    <col min="1" max="1" width="10.6640625" customWidth="1"/>
    <col min="2" max="2" width="20" bestFit="1" customWidth="1"/>
    <col min="4" max="5" width="8.83203125" bestFit="1" customWidth="1"/>
  </cols>
  <sheetData>
    <row r="1" spans="1:10" x14ac:dyDescent="0.55000000000000004">
      <c r="A1" s="2" t="s">
        <v>13</v>
      </c>
      <c r="B1">
        <f>SUM(C17+C18)</f>
        <v>27500</v>
      </c>
      <c r="C1" t="s">
        <v>27</v>
      </c>
    </row>
    <row r="2" spans="1:10" x14ac:dyDescent="0.55000000000000004">
      <c r="C2" s="3">
        <v>45630</v>
      </c>
      <c r="D2" s="3">
        <v>45640</v>
      </c>
      <c r="E2" s="3">
        <v>45643</v>
      </c>
      <c r="F2" s="3">
        <v>45669</v>
      </c>
    </row>
    <row r="3" spans="1:10" x14ac:dyDescent="0.55000000000000004">
      <c r="A3" s="1" t="s">
        <v>0</v>
      </c>
      <c r="B3" t="s">
        <v>1</v>
      </c>
      <c r="C3">
        <v>12500</v>
      </c>
      <c r="D3">
        <v>12927</v>
      </c>
      <c r="E3">
        <v>13494</v>
      </c>
      <c r="F3">
        <v>12352</v>
      </c>
    </row>
    <row r="4" spans="1:10" x14ac:dyDescent="0.55000000000000004">
      <c r="A4" t="s">
        <v>5</v>
      </c>
      <c r="B4" t="s">
        <v>4</v>
      </c>
      <c r="C4">
        <v>2000</v>
      </c>
      <c r="D4">
        <v>1931</v>
      </c>
      <c r="E4">
        <v>1968</v>
      </c>
      <c r="F4">
        <v>1663</v>
      </c>
    </row>
    <row r="5" spans="1:10" x14ac:dyDescent="0.55000000000000004">
      <c r="A5" t="s">
        <v>14</v>
      </c>
      <c r="B5" t="s">
        <v>15</v>
      </c>
      <c r="C5">
        <v>3000</v>
      </c>
      <c r="D5">
        <v>2899</v>
      </c>
      <c r="E5">
        <v>2932</v>
      </c>
      <c r="F5">
        <v>3090</v>
      </c>
    </row>
    <row r="6" spans="1:10" x14ac:dyDescent="0.55000000000000004">
      <c r="A6" t="s">
        <v>2</v>
      </c>
      <c r="B6" t="s">
        <v>3</v>
      </c>
      <c r="C6">
        <v>2000</v>
      </c>
      <c r="D6">
        <v>1797</v>
      </c>
      <c r="E6">
        <v>1728</v>
      </c>
      <c r="F6">
        <v>1416</v>
      </c>
    </row>
    <row r="7" spans="1:10" x14ac:dyDescent="0.55000000000000004">
      <c r="A7" t="s">
        <v>23</v>
      </c>
      <c r="B7" t="s">
        <v>22</v>
      </c>
      <c r="C7">
        <v>1000</v>
      </c>
      <c r="D7">
        <v>1135</v>
      </c>
      <c r="E7">
        <v>1086</v>
      </c>
      <c r="F7">
        <v>826</v>
      </c>
    </row>
    <row r="8" spans="1:10" x14ac:dyDescent="0.55000000000000004">
      <c r="A8" t="s">
        <v>20</v>
      </c>
      <c r="B8" t="s">
        <v>21</v>
      </c>
      <c r="C8">
        <v>1000</v>
      </c>
      <c r="D8">
        <v>921</v>
      </c>
      <c r="E8">
        <v>861</v>
      </c>
      <c r="F8">
        <v>632</v>
      </c>
    </row>
    <row r="9" spans="1:10" x14ac:dyDescent="0.55000000000000004">
      <c r="A9" t="s">
        <v>18</v>
      </c>
      <c r="B9" t="s">
        <v>19</v>
      </c>
      <c r="C9">
        <v>2000</v>
      </c>
      <c r="D9">
        <v>1665</v>
      </c>
      <c r="E9">
        <v>1590</v>
      </c>
      <c r="F9">
        <v>1259</v>
      </c>
    </row>
    <row r="10" spans="1:10" x14ac:dyDescent="0.55000000000000004">
      <c r="A10" t="s">
        <v>16</v>
      </c>
      <c r="B10" t="s">
        <v>17</v>
      </c>
      <c r="C10">
        <v>1000</v>
      </c>
      <c r="D10">
        <v>935</v>
      </c>
      <c r="E10">
        <v>839</v>
      </c>
      <c r="F10">
        <v>660</v>
      </c>
    </row>
    <row r="11" spans="1:10" x14ac:dyDescent="0.55000000000000004">
      <c r="A11" t="s">
        <v>6</v>
      </c>
      <c r="B11" t="s">
        <v>7</v>
      </c>
      <c r="C11">
        <v>1000</v>
      </c>
      <c r="D11">
        <v>842</v>
      </c>
      <c r="E11">
        <v>817</v>
      </c>
      <c r="F11">
        <v>665</v>
      </c>
    </row>
    <row r="12" spans="1:10" x14ac:dyDescent="0.55000000000000004">
      <c r="A12" t="s">
        <v>9</v>
      </c>
      <c r="B12" t="s">
        <v>8</v>
      </c>
      <c r="C12">
        <v>1000</v>
      </c>
      <c r="D12">
        <v>959</v>
      </c>
      <c r="E12">
        <v>1023</v>
      </c>
      <c r="F12">
        <v>948</v>
      </c>
    </row>
    <row r="13" spans="1:10" x14ac:dyDescent="0.55000000000000004">
      <c r="A13" t="s">
        <v>24</v>
      </c>
      <c r="B13" t="s">
        <v>25</v>
      </c>
      <c r="C13">
        <v>1000</v>
      </c>
      <c r="D13">
        <v>0</v>
      </c>
      <c r="E13">
        <v>932</v>
      </c>
      <c r="F13">
        <v>714</v>
      </c>
    </row>
    <row r="14" spans="1:10" x14ac:dyDescent="0.55000000000000004">
      <c r="B14" t="s">
        <v>26</v>
      </c>
      <c r="D14">
        <v>1000</v>
      </c>
      <c r="E14">
        <v>0</v>
      </c>
    </row>
    <row r="16" spans="1:10" x14ac:dyDescent="0.55000000000000004">
      <c r="A16" s="6" t="s">
        <v>10</v>
      </c>
      <c r="B16" s="6"/>
      <c r="C16">
        <f>SUM(C3:C14)</f>
        <v>27500</v>
      </c>
      <c r="D16">
        <f>SUM(D3:D14)</f>
        <v>27011</v>
      </c>
      <c r="E16">
        <f>SUM(E3:E14)</f>
        <v>27270</v>
      </c>
      <c r="F16">
        <f t="shared" ref="F16:J16" si="0">SUM(F3:F14)</f>
        <v>24225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55000000000000004">
      <c r="A17" s="4" t="s">
        <v>11</v>
      </c>
      <c r="B17" s="4"/>
      <c r="C17">
        <v>25000</v>
      </c>
      <c r="D17">
        <f>SUM(D$16-$B$1)</f>
        <v>-489</v>
      </c>
      <c r="E17">
        <f>SUM(E$16-$B$1)</f>
        <v>-230</v>
      </c>
      <c r="F17">
        <f t="shared" ref="F17:J17" si="1">SUM(F$16-$B$1)</f>
        <v>-3275</v>
      </c>
      <c r="G17">
        <f t="shared" si="1"/>
        <v>-27500</v>
      </c>
      <c r="H17">
        <f t="shared" si="1"/>
        <v>-27500</v>
      </c>
      <c r="I17">
        <f t="shared" si="1"/>
        <v>-27500</v>
      </c>
      <c r="J17">
        <f t="shared" si="1"/>
        <v>-27500</v>
      </c>
    </row>
    <row r="18" spans="1:10" x14ac:dyDescent="0.55000000000000004">
      <c r="A18" s="2" t="s">
        <v>12</v>
      </c>
      <c r="B18" s="2"/>
      <c r="C18">
        <v>2500</v>
      </c>
    </row>
    <row r="20" spans="1:10" x14ac:dyDescent="0.55000000000000004">
      <c r="A20" s="2"/>
      <c r="B20" s="2"/>
    </row>
  </sheetData>
  <mergeCells count="1">
    <mergeCell ref="A16:B16"/>
  </mergeCells>
  <phoneticPr fontId="2"/>
  <conditionalFormatting sqref="G3:H3">
    <cfRule type="expression" dxfId="16" priority="26">
      <formula>$C3&lt;G3</formula>
    </cfRule>
    <cfRule type="expression" dxfId="15" priority="27">
      <formula>$C3&gt;G3</formula>
    </cfRule>
  </conditionalFormatting>
  <conditionalFormatting sqref="G6:H6">
    <cfRule type="expression" dxfId="14" priority="18">
      <formula>$C6&lt;G6</formula>
    </cfRule>
  </conditionalFormatting>
  <conditionalFormatting sqref="G8:H8">
    <cfRule type="expression" dxfId="13" priority="14">
      <formula>$C8&lt;G8</formula>
    </cfRule>
  </conditionalFormatting>
  <conditionalFormatting sqref="G9:H9">
    <cfRule type="expression" dxfId="12" priority="9">
      <formula>$D9&gt;F9</formula>
    </cfRule>
    <cfRule type="expression" dxfId="11" priority="10">
      <formula>$C9&gt;G9</formula>
    </cfRule>
  </conditionalFormatting>
  <conditionalFormatting sqref="G4:I4">
    <cfRule type="expression" dxfId="10" priority="24">
      <formula>$C$4&lt;G4</formula>
    </cfRule>
  </conditionalFormatting>
  <conditionalFormatting sqref="G5:I5">
    <cfRule type="expression" dxfId="9" priority="20">
      <formula>$C5&gt;G5</formula>
    </cfRule>
    <cfRule type="expression" dxfId="8" priority="21">
      <formula>$C5&lt;$D$5</formula>
    </cfRule>
  </conditionalFormatting>
  <conditionalFormatting sqref="G7:I7">
    <cfRule type="expression" dxfId="7" priority="15">
      <formula>$C7&gt;G7</formula>
    </cfRule>
    <cfRule type="expression" dxfId="6" priority="16">
      <formula>$C7&lt;G7</formula>
    </cfRule>
  </conditionalFormatting>
  <conditionalFormatting sqref="G11:I13">
    <cfRule type="expression" dxfId="5" priority="1">
      <formula>$C11&gt;G11</formula>
    </cfRule>
    <cfRule type="expression" dxfId="4" priority="2">
      <formula>$C11&lt;G11</formula>
    </cfRule>
  </conditionalFormatting>
  <conditionalFormatting sqref="G6:J6">
    <cfRule type="expression" dxfId="3" priority="17">
      <formula>$C6&gt;G6</formula>
    </cfRule>
  </conditionalFormatting>
  <conditionalFormatting sqref="G8:J8">
    <cfRule type="expression" dxfId="2" priority="13">
      <formula>$C8&gt;G8</formula>
    </cfRule>
  </conditionalFormatting>
  <conditionalFormatting sqref="G10:J10">
    <cfRule type="expression" dxfId="1" priority="7">
      <formula>$C10&gt;G10</formula>
    </cfRule>
    <cfRule type="expression" dxfId="0" priority="8">
      <formula>$C10&lt;G10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87BE8E8F37E64F85FF20EFE101696E" ma:contentTypeVersion="14" ma:contentTypeDescription="新しいドキュメントを作成します。" ma:contentTypeScope="" ma:versionID="9567925887b75b480315d1c9ee99c762">
  <xsd:schema xmlns:xsd="http://www.w3.org/2001/XMLSchema" xmlns:xs="http://www.w3.org/2001/XMLSchema" xmlns:p="http://schemas.microsoft.com/office/2006/metadata/properties" xmlns:ns3="148aecd1-c53e-46c5-b0db-965c0be3f40f" xmlns:ns4="469bfeae-8ea4-4f0e-88a2-b2c207af2e5c" targetNamespace="http://schemas.microsoft.com/office/2006/metadata/properties" ma:root="true" ma:fieldsID="33f0d56a64a6556111359a18fd704824" ns3:_="" ns4:_="">
    <xsd:import namespace="148aecd1-c53e-46c5-b0db-965c0be3f40f"/>
    <xsd:import namespace="469bfeae-8ea4-4f0e-88a2-b2c207af2e5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aecd1-c53e-46c5-b0db-965c0be3f4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bfeae-8ea4-4f0e-88a2-b2c207af2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9bfeae-8ea4-4f0e-88a2-b2c207af2e5c" xsi:nil="true"/>
  </documentManagement>
</p:properties>
</file>

<file path=customXml/itemProps1.xml><?xml version="1.0" encoding="utf-8"?>
<ds:datastoreItem xmlns:ds="http://schemas.openxmlformats.org/officeDocument/2006/customXml" ds:itemID="{B4B7FDFE-677C-49BA-A7AE-5C5B31AEB5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27BB34-DA84-4F21-A54B-D56E2E1D96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aecd1-c53e-46c5-b0db-965c0be3f40f"/>
    <ds:schemaRef ds:uri="469bfeae-8ea4-4f0e-88a2-b2c207af2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A779F8-2C2F-40E9-93EB-127FC654BC5D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469bfeae-8ea4-4f0e-88a2-b2c207af2e5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48aecd1-c53e-46c5-b0db-965c0be3f4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株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湯澤　光希</dc:creator>
  <cp:lastModifiedBy>光希 湯澤</cp:lastModifiedBy>
  <dcterms:created xsi:type="dcterms:W3CDTF">2024-12-07T13:18:27Z</dcterms:created>
  <dcterms:modified xsi:type="dcterms:W3CDTF">2026-05-23T14:49:50Z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0x0101005887BE8E8F37E64F85FF20EFE101696E</vt:lpwstr>
  </property>
</Properties>
</file>